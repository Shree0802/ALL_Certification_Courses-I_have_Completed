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8FF8BFAE-9634-4415-B3B2-201C74446588}" xr6:coauthVersionLast="47" xr6:coauthVersionMax="47" xr10:uidLastSave="{00000000-0000-0000-0000-000000000000}"/>
  <bookViews>
    <workbookView xWindow="-108" yWindow="-108" windowWidth="23256" windowHeight="12456" activeTab="1" xr2:uid="{BD3F9117-0550-4976-A260-35753F608DAD}"/>
  </bookViews>
  <sheets>
    <sheet name="Xlookup1" sheetId="1" r:id="rId1"/>
    <sheet name="Xlookup-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 a="1"/>
  <c r="K3" i="3" s="1"/>
  <c r="K4" i="3" a="1"/>
  <c r="K4" i="3" s="1"/>
  <c r="K5" i="3" a="1"/>
  <c r="K5" i="3" s="1"/>
  <c r="K6" i="3" a="1"/>
  <c r="K6" i="3" s="1"/>
  <c r="K7" i="3" a="1"/>
  <c r="K7" i="3" s="1"/>
  <c r="K2" i="3" a="1"/>
  <c r="K2" i="3" s="1"/>
  <c r="J2" i="1" a="1"/>
  <c r="J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I13" i="1" a="1"/>
  <c r="I13" i="1" s="1"/>
  <c r="I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<sst xmlns="http://schemas.openxmlformats.org/spreadsheetml/2006/main" count="128" uniqueCount="30">
  <si>
    <t>Ajay Pandey</t>
  </si>
  <si>
    <t>Vinod Singh</t>
  </si>
  <si>
    <t>Sakhshi Mehta</t>
  </si>
  <si>
    <t>Reena Kumari</t>
  </si>
  <si>
    <t>Vikas Singh</t>
  </si>
  <si>
    <t>Ajay Kale</t>
  </si>
  <si>
    <t>Sanjay Jadhav</t>
  </si>
  <si>
    <t>Sameer Shaikh</t>
  </si>
  <si>
    <t>Ravi Kale</t>
  </si>
  <si>
    <t>Manager</t>
  </si>
  <si>
    <t>Supervisor</t>
  </si>
  <si>
    <t>Asst.Supervisor</t>
  </si>
  <si>
    <t>Asst.Manager</t>
  </si>
  <si>
    <t>Accountant</t>
  </si>
  <si>
    <t>CSR</t>
  </si>
  <si>
    <t>Purchase</t>
  </si>
  <si>
    <t>Sales</t>
  </si>
  <si>
    <t>Admin</t>
  </si>
  <si>
    <t>Male</t>
  </si>
  <si>
    <t>Female</t>
  </si>
  <si>
    <t>Sangita Singh</t>
  </si>
  <si>
    <t>Mumbai</t>
  </si>
  <si>
    <t>Pune</t>
  </si>
  <si>
    <t>Emp Id</t>
  </si>
  <si>
    <t>Emp Name</t>
  </si>
  <si>
    <t>Desg</t>
  </si>
  <si>
    <t>Dept</t>
  </si>
  <si>
    <t>Gender</t>
  </si>
  <si>
    <t>City</t>
  </si>
  <si>
    <t>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</si>
</sst>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B434-11C3-4355-8BB1-35488CD95499}">
  <dimension ref="A1:J23"/>
  <sheetViews>
    <sheetView zoomScale="160" zoomScaleNormal="160" workbookViewId="0">
      <selection activeCell="A5" sqref="A5:G5"/>
    </sheetView>
  </sheetViews>
  <sheetFormatPr defaultRowHeight="14.4" x14ac:dyDescent="0.3"/>
  <cols>
    <col min="1" max="1" width="6.88671875" customWidth="1"/>
    <col min="2" max="2" width="12.77734375" bestFit="1" customWidth="1"/>
    <col min="3" max="3" width="13.44140625" bestFit="1" customWidth="1"/>
    <col min="4" max="4" width="8.77734375" customWidth="1"/>
    <col min="5" max="5" width="8.88671875" customWidth="1"/>
    <col min="6" max="6" width="10" customWidth="1"/>
    <col min="7" max="7" width="8.5546875" customWidth="1"/>
    <col min="8" max="8" width="12.21875" bestFit="1" customWidth="1"/>
    <col min="9" max="9" width="11.109375" customWidth="1"/>
    <col min="10" max="10" width="13.109375" customWidth="1"/>
  </cols>
  <sheetData>
    <row r="1" spans="1:10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I1" s="3" t="s">
        <v>23</v>
      </c>
      <c r="J1">
        <v>1003</v>
      </c>
    </row>
    <row r="2" spans="1:10" x14ac:dyDescent="0.3">
      <c r="A2" s="1">
        <v>1001</v>
      </c>
      <c r="B2" s="1" t="s">
        <v>0</v>
      </c>
      <c r="C2" s="1" t="s">
        <v>9</v>
      </c>
      <c r="D2" s="1" t="s">
        <v>15</v>
      </c>
      <c r="E2" s="1" t="s">
        <v>18</v>
      </c>
      <c r="F2" s="1" t="s">
        <v>21</v>
      </c>
      <c r="G2" s="1">
        <v>150000</v>
      </c>
      <c r="I2" s="3" t="s">
        <v>24</v>
      </c>
      <c r="J2" s="2" t="str" cm="1">
        <f t="array" ref="J2">_xlfn.XLOOKUP($J$1,A:A,INDEX(A:G,,MATCH(I2,$A$1:$G$1,0)))</f>
        <v>Sakhshi Mehta</v>
      </c>
    </row>
    <row r="3" spans="1:10" x14ac:dyDescent="0.3">
      <c r="A3" s="1">
        <v>1002</v>
      </c>
      <c r="B3" s="1" t="s">
        <v>1</v>
      </c>
      <c r="C3" s="1" t="s">
        <v>10</v>
      </c>
      <c r="D3" s="1" t="s">
        <v>16</v>
      </c>
      <c r="E3" s="1" t="s">
        <v>18</v>
      </c>
      <c r="F3" s="1" t="s">
        <v>21</v>
      </c>
      <c r="G3" s="1">
        <v>120000</v>
      </c>
      <c r="I3" s="3" t="s">
        <v>25</v>
      </c>
      <c r="J3" s="2" t="str" cm="1">
        <f t="array" ref="J3">_xlfn.XLOOKUP($J$1,A:A,INDEX(A:G,,MATCH(I3,$A$1:$G$1,0)))</f>
        <v>Asst.Manager</v>
      </c>
    </row>
    <row r="4" spans="1:10" x14ac:dyDescent="0.3">
      <c r="A4" s="1">
        <v>1003</v>
      </c>
      <c r="B4" s="1" t="s">
        <v>2</v>
      </c>
      <c r="C4" s="1" t="s">
        <v>12</v>
      </c>
      <c r="D4" s="1" t="s">
        <v>15</v>
      </c>
      <c r="E4" s="1" t="s">
        <v>19</v>
      </c>
      <c r="F4" s="1" t="s">
        <v>21</v>
      </c>
      <c r="G4" s="1">
        <v>98000</v>
      </c>
      <c r="I4" s="3" t="s">
        <v>26</v>
      </c>
      <c r="J4" s="2" t="str" cm="1">
        <f t="array" ref="J4">_xlfn.XLOOKUP($J$1,A:A,INDEX(A:G,,MATCH(I4,$A$1:$G$1,0)))</f>
        <v>Purchase</v>
      </c>
    </row>
    <row r="5" spans="1:10" x14ac:dyDescent="0.3">
      <c r="A5" s="1">
        <v>1004</v>
      </c>
      <c r="B5" s="1" t="s">
        <v>3</v>
      </c>
      <c r="C5" s="1" t="s">
        <v>11</v>
      </c>
      <c r="D5" s="1" t="s">
        <v>16</v>
      </c>
      <c r="E5" s="1" t="s">
        <v>19</v>
      </c>
      <c r="F5" s="1" t="s">
        <v>22</v>
      </c>
      <c r="G5" s="1">
        <v>95000</v>
      </c>
      <c r="I5" s="3" t="s">
        <v>27</v>
      </c>
      <c r="J5" s="2" t="str" cm="1">
        <f t="array" ref="J5">_xlfn.XLOOKUP($J$1,A:A,INDEX(A:G,,MATCH(I5,$A$1:$G$1,0)))</f>
        <v>Female</v>
      </c>
    </row>
    <row r="6" spans="1:10" x14ac:dyDescent="0.3">
      <c r="A6" s="1">
        <v>1005</v>
      </c>
      <c r="B6" s="1" t="s">
        <v>4</v>
      </c>
      <c r="C6" s="1" t="s">
        <v>13</v>
      </c>
      <c r="D6" s="1" t="s">
        <v>17</v>
      </c>
      <c r="E6" s="1" t="s">
        <v>18</v>
      </c>
      <c r="F6" s="1" t="s">
        <v>21</v>
      </c>
      <c r="G6" s="1">
        <v>90000</v>
      </c>
      <c r="I6" s="3" t="s">
        <v>28</v>
      </c>
      <c r="J6" s="2" t="str" cm="1">
        <f t="array" ref="J6">_xlfn.XLOOKUP($J$1,A:A,INDEX(A:G,,MATCH(I6,$A$1:$G$1,0)))</f>
        <v>Mumbai</v>
      </c>
    </row>
    <row r="7" spans="1:10" x14ac:dyDescent="0.3">
      <c r="A7" s="1">
        <v>1006</v>
      </c>
      <c r="B7" s="1" t="s">
        <v>5</v>
      </c>
      <c r="C7" s="1" t="s">
        <v>14</v>
      </c>
      <c r="D7" s="1" t="s">
        <v>16</v>
      </c>
      <c r="E7" s="1" t="s">
        <v>18</v>
      </c>
      <c r="F7" s="1" t="s">
        <v>21</v>
      </c>
      <c r="G7" s="1">
        <v>85000</v>
      </c>
      <c r="I7" s="3" t="s">
        <v>29</v>
      </c>
      <c r="J7" s="2" cm="1">
        <f t="array" ref="J7">_xlfn.XLOOKUP($J$1,A:A,INDEX(A:G,,MATCH(I7,$A$1:$G$1,0)))</f>
        <v>98000</v>
      </c>
    </row>
    <row r="8" spans="1:10" x14ac:dyDescent="0.3">
      <c r="A8" s="1">
        <v>1007</v>
      </c>
      <c r="B8" s="1" t="s">
        <v>6</v>
      </c>
      <c r="C8" s="1" t="s">
        <v>14</v>
      </c>
      <c r="D8" s="1" t="s">
        <v>16</v>
      </c>
      <c r="E8" s="1" t="s">
        <v>18</v>
      </c>
      <c r="F8" s="1" t="s">
        <v>22</v>
      </c>
      <c r="G8" s="1">
        <v>80000</v>
      </c>
    </row>
    <row r="9" spans="1:10" x14ac:dyDescent="0.3">
      <c r="A9" s="1">
        <v>1008</v>
      </c>
      <c r="B9" s="1" t="s">
        <v>7</v>
      </c>
      <c r="C9" s="1" t="s">
        <v>13</v>
      </c>
      <c r="D9" s="1" t="s">
        <v>17</v>
      </c>
      <c r="E9" s="1" t="s">
        <v>18</v>
      </c>
      <c r="F9" s="1" t="s">
        <v>21</v>
      </c>
      <c r="G9" s="1">
        <v>86000</v>
      </c>
    </row>
    <row r="10" spans="1:10" x14ac:dyDescent="0.3">
      <c r="A10" s="1">
        <v>1009</v>
      </c>
      <c r="B10" s="1" t="s">
        <v>20</v>
      </c>
      <c r="C10" s="1" t="s">
        <v>14</v>
      </c>
      <c r="D10" s="1" t="s">
        <v>16</v>
      </c>
      <c r="E10" s="1" t="s">
        <v>19</v>
      </c>
      <c r="F10" s="1" t="s">
        <v>21</v>
      </c>
      <c r="G10" s="1">
        <v>95000</v>
      </c>
    </row>
    <row r="11" spans="1:10" x14ac:dyDescent="0.3">
      <c r="A11" s="1">
        <v>1010</v>
      </c>
      <c r="B11" s="1" t="s">
        <v>8</v>
      </c>
      <c r="C11" s="1" t="s">
        <v>14</v>
      </c>
      <c r="D11" s="1" t="s">
        <v>16</v>
      </c>
      <c r="E11" s="1" t="s">
        <v>18</v>
      </c>
      <c r="F11" s="1" t="s">
        <v>21</v>
      </c>
      <c r="G11" s="1">
        <v>65000</v>
      </c>
      <c r="I11">
        <f>MATCH(I7,A1:G1,0)</f>
        <v>7</v>
      </c>
    </row>
    <row r="13" spans="1:10" x14ac:dyDescent="0.3">
      <c r="I13" t="str" cm="1">
        <f t="array" ref="I13:I23">INDEX(A1:G11,,MATCH(I2,A1:G1,0))</f>
        <v>Emp Name</v>
      </c>
    </row>
    <row r="14" spans="1:10" x14ac:dyDescent="0.3">
      <c r="I14" t="str">
        <v>Ajay Pandey</v>
      </c>
    </row>
    <row r="15" spans="1:10" x14ac:dyDescent="0.3">
      <c r="I15" t="str">
        <v>Vinod Singh</v>
      </c>
    </row>
    <row r="16" spans="1:10" x14ac:dyDescent="0.3">
      <c r="I16" t="str">
        <v>Sakhshi Mehta</v>
      </c>
    </row>
    <row r="17" spans="9:9" x14ac:dyDescent="0.3">
      <c r="I17" t="str">
        <v>Reena Kumari</v>
      </c>
    </row>
    <row r="18" spans="9:9" x14ac:dyDescent="0.3">
      <c r="I18" t="str">
        <v>Vikas Singh</v>
      </c>
    </row>
    <row r="19" spans="9:9" x14ac:dyDescent="0.3">
      <c r="I19" t="str">
        <v>Ajay Kale</v>
      </c>
    </row>
    <row r="20" spans="9:9" x14ac:dyDescent="0.3">
      <c r="I20" t="str">
        <v>Sanjay Jadhav</v>
      </c>
    </row>
    <row r="21" spans="9:9" x14ac:dyDescent="0.3">
      <c r="I21" t="str">
        <v>Sameer Shaikh</v>
      </c>
    </row>
    <row r="22" spans="9:9" x14ac:dyDescent="0.3">
      <c r="I22" t="str">
        <v>Sangita Singh</v>
      </c>
    </row>
    <row r="23" spans="9:9" x14ac:dyDescent="0.3">
      <c r="I23" t="str">
        <v>Ravi Kale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FA78-1980-40E5-9FFD-D366B092B389}">
  <dimension ref="A1:K11"/>
  <sheetViews>
    <sheetView tabSelected="1" zoomScale="160" zoomScaleNormal="160" workbookViewId="0">
      <selection activeCell="H7" sqref="H7"/>
    </sheetView>
  </sheetViews>
  <sheetFormatPr defaultRowHeight="14.4" x14ac:dyDescent="0.3"/>
  <cols>
    <col min="1" max="1" width="12.77734375" bestFit="1" customWidth="1"/>
    <col min="2" max="2" width="13.44140625" bestFit="1" customWidth="1"/>
    <col min="6" max="6" width="10.44140625" customWidth="1"/>
    <col min="10" max="10" width="9.88671875" bestFit="1" customWidth="1"/>
    <col min="11" max="11" width="13.109375" customWidth="1"/>
  </cols>
  <sheetData>
    <row r="1" spans="1:11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23</v>
      </c>
      <c r="J1" s="1" t="s">
        <v>23</v>
      </c>
      <c r="K1">
        <v>1003</v>
      </c>
    </row>
    <row r="2" spans="1:11" x14ac:dyDescent="0.3">
      <c r="A2" s="1" t="s">
        <v>0</v>
      </c>
      <c r="B2" s="1" t="s">
        <v>9</v>
      </c>
      <c r="C2" s="1" t="s">
        <v>15</v>
      </c>
      <c r="D2" s="1" t="s">
        <v>18</v>
      </c>
      <c r="E2" s="1" t="s">
        <v>21</v>
      </c>
      <c r="F2" s="1">
        <v>150000</v>
      </c>
      <c r="G2" s="1">
        <v>1001</v>
      </c>
      <c r="J2" s="1" t="s">
        <v>24</v>
      </c>
      <c r="K2" t="str" cm="1">
        <f t="array" ref="K2">_xlfn.XLOOKUP($K$1,G:G,INDEX(A:G,,MATCH(J2,$A$1:$G$1,0)))</f>
        <v>Sakhshi Mehta</v>
      </c>
    </row>
    <row r="3" spans="1:11" x14ac:dyDescent="0.3">
      <c r="A3" s="1" t="s">
        <v>1</v>
      </c>
      <c r="B3" s="1" t="s">
        <v>10</v>
      </c>
      <c r="C3" s="1" t="s">
        <v>16</v>
      </c>
      <c r="D3" s="1" t="s">
        <v>18</v>
      </c>
      <c r="E3" s="1" t="s">
        <v>21</v>
      </c>
      <c r="F3" s="1">
        <v>120000</v>
      </c>
      <c r="G3" s="1">
        <v>1002</v>
      </c>
      <c r="J3" s="1" t="s">
        <v>25</v>
      </c>
      <c r="K3" t="str" cm="1">
        <f t="array" ref="K3">_xlfn.XLOOKUP($K$1,G:G,INDEX(A:G,,MATCH(J3,$A$1:$G$1,0)))</f>
        <v>Asst.Manager</v>
      </c>
    </row>
    <row r="4" spans="1:11" x14ac:dyDescent="0.3">
      <c r="A4" s="1" t="s">
        <v>2</v>
      </c>
      <c r="B4" s="1" t="s">
        <v>12</v>
      </c>
      <c r="C4" s="1" t="s">
        <v>15</v>
      </c>
      <c r="D4" s="1" t="s">
        <v>19</v>
      </c>
      <c r="E4" s="1" t="s">
        <v>21</v>
      </c>
      <c r="F4" s="1">
        <v>98000</v>
      </c>
      <c r="G4" s="1">
        <v>1003</v>
      </c>
      <c r="J4" s="1" t="s">
        <v>26</v>
      </c>
      <c r="K4" t="str" cm="1">
        <f t="array" ref="K4">_xlfn.XLOOKUP($K$1,G:G,INDEX(A:G,,MATCH(J4,$A$1:$G$1,0)))</f>
        <v>Purchase</v>
      </c>
    </row>
    <row r="5" spans="1:11" x14ac:dyDescent="0.3">
      <c r="A5" s="1" t="s">
        <v>3</v>
      </c>
      <c r="B5" s="1" t="s">
        <v>11</v>
      </c>
      <c r="C5" s="1" t="s">
        <v>16</v>
      </c>
      <c r="D5" s="1" t="s">
        <v>19</v>
      </c>
      <c r="E5" s="1" t="s">
        <v>22</v>
      </c>
      <c r="F5" s="1">
        <v>95000</v>
      </c>
      <c r="G5" s="1">
        <v>1004</v>
      </c>
      <c r="J5" s="1" t="s">
        <v>27</v>
      </c>
      <c r="K5" t="str" cm="1">
        <f t="array" ref="K5">_xlfn.XLOOKUP($K$1,G:G,INDEX(A:G,,MATCH(J5,$A$1:$G$1,0)))</f>
        <v>Female</v>
      </c>
    </row>
    <row r="6" spans="1:11" x14ac:dyDescent="0.3">
      <c r="A6" s="1" t="s">
        <v>4</v>
      </c>
      <c r="B6" s="1" t="s">
        <v>13</v>
      </c>
      <c r="C6" s="1" t="s">
        <v>17</v>
      </c>
      <c r="D6" s="1" t="s">
        <v>18</v>
      </c>
      <c r="E6" s="1" t="s">
        <v>21</v>
      </c>
      <c r="F6" s="1">
        <v>90000</v>
      </c>
      <c r="G6" s="1">
        <v>1005</v>
      </c>
      <c r="J6" s="1" t="s">
        <v>28</v>
      </c>
      <c r="K6" t="str" cm="1">
        <f t="array" ref="K6">_xlfn.XLOOKUP($K$1,G:G,INDEX(A:G,,MATCH(J6,$A$1:$G$1,0)))</f>
        <v>Mumbai</v>
      </c>
    </row>
    <row r="7" spans="1:11" x14ac:dyDescent="0.3">
      <c r="A7" s="1" t="s">
        <v>5</v>
      </c>
      <c r="B7" s="1" t="s">
        <v>14</v>
      </c>
      <c r="C7" s="1" t="s">
        <v>16</v>
      </c>
      <c r="D7" s="1" t="s">
        <v>18</v>
      </c>
      <c r="E7" s="1" t="s">
        <v>21</v>
      </c>
      <c r="F7" s="1">
        <v>85000</v>
      </c>
      <c r="G7" s="1">
        <v>1006</v>
      </c>
      <c r="J7" s="1" t="s">
        <v>29</v>
      </c>
      <c r="K7" cm="1">
        <f t="array" ref="K7">_xlfn.XLOOKUP($K$1,G:G,INDEX(A:G,,MATCH(J7,$A$1:$G$1,0)))</f>
        <v>98000</v>
      </c>
    </row>
    <row r="8" spans="1:11" x14ac:dyDescent="0.3">
      <c r="A8" s="1" t="s">
        <v>6</v>
      </c>
      <c r="B8" s="1" t="s">
        <v>14</v>
      </c>
      <c r="C8" s="1" t="s">
        <v>16</v>
      </c>
      <c r="D8" s="1" t="s">
        <v>18</v>
      </c>
      <c r="E8" s="1" t="s">
        <v>22</v>
      </c>
      <c r="F8" s="1">
        <v>80000</v>
      </c>
      <c r="G8" s="1">
        <v>1007</v>
      </c>
    </row>
    <row r="9" spans="1:11" x14ac:dyDescent="0.3">
      <c r="A9" s="1" t="s">
        <v>7</v>
      </c>
      <c r="B9" s="1" t="s">
        <v>13</v>
      </c>
      <c r="C9" s="1" t="s">
        <v>17</v>
      </c>
      <c r="D9" s="1" t="s">
        <v>18</v>
      </c>
      <c r="E9" s="1" t="s">
        <v>21</v>
      </c>
      <c r="F9" s="1">
        <v>86000</v>
      </c>
      <c r="G9" s="1">
        <v>1008</v>
      </c>
    </row>
    <row r="10" spans="1:11" x14ac:dyDescent="0.3">
      <c r="A10" s="1" t="s">
        <v>20</v>
      </c>
      <c r="B10" s="1" t="s">
        <v>14</v>
      </c>
      <c r="C10" s="1" t="s">
        <v>16</v>
      </c>
      <c r="D10" s="1" t="s">
        <v>19</v>
      </c>
      <c r="E10" s="1" t="s">
        <v>21</v>
      </c>
      <c r="F10" s="1">
        <v>95000</v>
      </c>
      <c r="G10" s="1">
        <v>1009</v>
      </c>
    </row>
    <row r="11" spans="1:11" x14ac:dyDescent="0.3">
      <c r="A11" s="1" t="s">
        <v>8</v>
      </c>
      <c r="B11" s="1" t="s">
        <v>14</v>
      </c>
      <c r="C11" s="1" t="s">
        <v>16</v>
      </c>
      <c r="D11" s="1" t="s">
        <v>18</v>
      </c>
      <c r="E11" s="1" t="s">
        <v>21</v>
      </c>
      <c r="F11" s="1">
        <v>65000</v>
      </c>
      <c r="G11" s="1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Xlookup1</vt:lpstr>
      <vt:lpstr>Xlookup-2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2023-03-16T10:38:43Z</dcterms:created>
  <dcterms:modified xsi:type="dcterms:W3CDTF">2023-04-27T04:01:32Z</dcterms:modified>
</cp:coreProperties>
</file>