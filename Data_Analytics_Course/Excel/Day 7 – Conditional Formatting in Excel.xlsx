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C0CB1B54-0670-458D-BB72-5CC2EEEF5E4C}" xr6:coauthVersionLast="47" xr6:coauthVersionMax="47" xr10:uidLastSave="{00000000-0000-0000-0000-000000000000}"/>
  <bookViews>
    <workbookView xWindow="-108" yWindow="-108" windowWidth="23256" windowHeight="12456" xr2:uid="{74A4655A-57EC-40D5-9BA0-38CF65C6E866}"/>
  </bookViews>
  <sheets>
    <sheet name="7 - Conditional formatting" sheetId="3" r:id="rId1"/>
    <sheet name="Conditional Formatting" sheetId="4" r:id="rId2"/>
    <sheet name="Data" sheetId="5" r:id="rId3"/>
    <sheet name="About Satish Si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5" l="1"/>
  <c r="I9" i="5"/>
  <c r="I8" i="5"/>
  <c r="I5" i="5"/>
  <c r="I4" i="5"/>
  <c r="I3" i="5"/>
  <c r="E13" i="5"/>
  <c r="E12" i="5"/>
  <c r="E11" i="5"/>
  <c r="E10" i="5"/>
  <c r="E8" i="5"/>
  <c r="E7" i="5"/>
  <c r="E6" i="5"/>
  <c r="E5" i="5"/>
  <c r="E3" i="5"/>
  <c r="E2" i="5"/>
  <c r="J8" i="4" l="1"/>
  <c r="I8" i="4"/>
  <c r="H8" i="4"/>
  <c r="G8" i="4"/>
  <c r="F8" i="4"/>
  <c r="K8" i="4" s="1"/>
  <c r="J7" i="4"/>
  <c r="I7" i="4"/>
  <c r="H7" i="4"/>
  <c r="G7" i="4"/>
  <c r="F7" i="4"/>
  <c r="K7" i="4" s="1"/>
  <c r="J6" i="4"/>
  <c r="I6" i="4"/>
  <c r="H6" i="4"/>
  <c r="G6" i="4"/>
  <c r="F6" i="4"/>
  <c r="K6" i="4" s="1"/>
  <c r="J5" i="4"/>
  <c r="I5" i="4"/>
  <c r="H5" i="4"/>
  <c r="G5" i="4"/>
  <c r="F5" i="4"/>
  <c r="K5" i="4" s="1"/>
  <c r="J4" i="4"/>
  <c r="I4" i="4"/>
  <c r="H4" i="4"/>
  <c r="G4" i="4"/>
  <c r="F4" i="4"/>
  <c r="K4" i="4" s="1"/>
  <c r="J3" i="4"/>
  <c r="I3" i="4"/>
  <c r="H3" i="4"/>
  <c r="G3" i="4"/>
  <c r="F3" i="4"/>
  <c r="K3" i="4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</calcChain>
</file>

<file path=xl/sharedStrings.xml><?xml version="1.0" encoding="utf-8"?>
<sst xmlns="http://schemas.openxmlformats.org/spreadsheetml/2006/main" count="835" uniqueCount="45">
  <si>
    <t>EMP NAME</t>
  </si>
  <si>
    <t>EMP CODE</t>
  </si>
  <si>
    <t>Date</t>
  </si>
  <si>
    <t>STUDENT DATA</t>
  </si>
  <si>
    <t>SR NO</t>
  </si>
  <si>
    <t>NAME OF STUDENT</t>
  </si>
  <si>
    <t>SUB1</t>
  </si>
  <si>
    <t>SUB2</t>
  </si>
  <si>
    <t>SUB3</t>
  </si>
  <si>
    <t>TOTAL</t>
  </si>
  <si>
    <t>MAX</t>
  </si>
  <si>
    <t>MIN</t>
  </si>
  <si>
    <t>COUNT</t>
  </si>
  <si>
    <t>AVG</t>
  </si>
  <si>
    <t>%AGE</t>
  </si>
  <si>
    <t>A</t>
  </si>
  <si>
    <t>B</t>
  </si>
  <si>
    <t>C</t>
  </si>
  <si>
    <t>D</t>
  </si>
  <si>
    <t>E</t>
  </si>
  <si>
    <t>F</t>
  </si>
  <si>
    <t>EMP</t>
  </si>
  <si>
    <t>DESG</t>
  </si>
  <si>
    <t>BASIC SALARY</t>
  </si>
  <si>
    <t>BONUS</t>
  </si>
  <si>
    <t>Ashok Singh</t>
  </si>
  <si>
    <t>MANAGER</t>
  </si>
  <si>
    <t>Ashok Singhania</t>
  </si>
  <si>
    <t>CLERK</t>
  </si>
  <si>
    <t>Kiran Katekar</t>
  </si>
  <si>
    <t>SUPERVISOR</t>
  </si>
  <si>
    <t>YES</t>
  </si>
  <si>
    <t>Raj Singh</t>
  </si>
  <si>
    <t>Rajendra Verma</t>
  </si>
  <si>
    <t>WORKER</t>
  </si>
  <si>
    <t>Ravi Verma</t>
  </si>
  <si>
    <t>Sameer Shinde</t>
  </si>
  <si>
    <t>Santosh Kale</t>
  </si>
  <si>
    <t>Shankar Jadhav</t>
  </si>
  <si>
    <t>Vinod Kale</t>
  </si>
  <si>
    <t>Vinod Singh</t>
  </si>
  <si>
    <t>Viresh Pal</t>
  </si>
  <si>
    <t>P</t>
  </si>
  <si>
    <t>AB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</si>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</sst>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16" fontId="0" fillId="0" borderId="0" xfId="0" applyNumberFormat="1"/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14" fontId="0" fillId="0" borderId="2" xfId="0" applyNumberFormat="1" applyBorder="1"/>
    <xf numFmtId="14" fontId="0" fillId="0" borderId="0" xfId="0" applyNumberForma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129541</xdr:colOff>
      <xdr:row>2</xdr:row>
      <xdr:rowOff>114301</xdr:rowOff>
    </xdr:from>
    <xdr:to>
      <xdr:col>17</xdr:col>
      <xdr:colOff>579120</xdr:colOff>
      <xdr:row>30</xdr:row>
      <xdr:rowOff>8474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9DE2B37-90E9-4544-AD79-9979273A597A}"/>
            </a:ext>
          </a:extLst>
        </xdr:cNvPr>
        <xdr:cNvGrpSpPr/>
      </xdr:nvGrpSpPr>
      <xdr:grpSpPr>
        <a:xfrm>
          <a:off x="129541" y="480061"/>
          <a:ext cx="10812779" cy="5014813"/>
          <a:chOff x="129541" y="91441"/>
          <a:chExt cx="10812779" cy="50148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E1DED4E-5DCA-4F44-AACA-724BB1B4B7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9541" y="91441"/>
            <a:ext cx="10812779" cy="5014813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13EB4EEF-2CFE-4E97-BF11-83074C329373}"/>
              </a:ext>
            </a:extLst>
          </xdr:cNvPr>
          <xdr:cNvSpPr/>
        </xdr:nvSpPr>
        <xdr:spPr>
          <a:xfrm>
            <a:off x="297180" y="4587240"/>
            <a:ext cx="1379220" cy="43434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1BF5-8998-4D93-BFC1-245BBF91FC1A}">
  <dimension ref="A1:K89"/>
  <sheetViews>
    <sheetView tabSelected="1" zoomScale="115" zoomScaleNormal="115" workbookViewId="0">
      <selection activeCell="J21" sqref="J21"/>
    </sheetView>
  </sheetViews>
  <sheetFormatPr defaultRowHeight="14.4" x14ac:dyDescent="0.3"/>
  <cols>
    <col min="1" max="1" width="11.44140625" customWidth="1"/>
    <col min="2" max="2" width="20.109375" bestFit="1" customWidth="1"/>
  </cols>
  <sheetData>
    <row r="1" spans="1:11" x14ac:dyDescent="0.3">
      <c r="C1" t="s">
        <v>2</v>
      </c>
    </row>
    <row r="2" spans="1:11" x14ac:dyDescent="0.3">
      <c r="A2" t="s">
        <v>1</v>
      </c>
      <c r="B2" t="s">
        <v>0</v>
      </c>
      <c r="C2" s="3">
        <v>44986</v>
      </c>
      <c r="D2" s="3">
        <v>44987</v>
      </c>
      <c r="E2" s="3">
        <v>44988</v>
      </c>
      <c r="F2" s="3">
        <v>44989</v>
      </c>
      <c r="G2" s="3">
        <v>44990</v>
      </c>
      <c r="H2" s="3">
        <v>44991</v>
      </c>
      <c r="I2" s="3">
        <v>44992</v>
      </c>
      <c r="J2" s="3">
        <v>44993</v>
      </c>
      <c r="K2" s="3">
        <v>44994</v>
      </c>
    </row>
    <row r="3" spans="1:11" x14ac:dyDescent="0.3">
      <c r="A3">
        <v>1001</v>
      </c>
      <c r="B3" s="2" t="str">
        <f ca="1">IFERROR(__xludf.DUMMYFUNCTION("""COMPUTED_VALUE"""),"Pawan kumar")</f>
        <v>Pawan kumar</v>
      </c>
      <c r="C3" t="s">
        <v>42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</row>
    <row r="4" spans="1:11" x14ac:dyDescent="0.3">
      <c r="A4">
        <v>1002</v>
      </c>
      <c r="B4" s="2" t="str">
        <f ca="1">IFERROR(__xludf.DUMMYFUNCTION("""COMPUTED_VALUE"""),"Madan Lal Verma")</f>
        <v>Madan Lal Verma</v>
      </c>
      <c r="C4" t="s">
        <v>42</v>
      </c>
      <c r="D4" t="s">
        <v>43</v>
      </c>
      <c r="E4" t="s">
        <v>42</v>
      </c>
      <c r="F4" t="s">
        <v>43</v>
      </c>
      <c r="G4" t="s">
        <v>42</v>
      </c>
      <c r="H4" t="s">
        <v>42</v>
      </c>
      <c r="I4" t="s">
        <v>43</v>
      </c>
      <c r="J4" t="s">
        <v>42</v>
      </c>
      <c r="K4" t="s">
        <v>42</v>
      </c>
    </row>
    <row r="5" spans="1:11" x14ac:dyDescent="0.3">
      <c r="A5">
        <v>1003</v>
      </c>
      <c r="B5" s="2" t="str">
        <f ca="1">IFERROR(__xludf.DUMMYFUNCTION("""COMPUTED_VALUE"""),"Rajesh Nanda")</f>
        <v>Rajesh Nanda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</row>
    <row r="6" spans="1:11" x14ac:dyDescent="0.3">
      <c r="A6">
        <v>1004</v>
      </c>
      <c r="B6" s="2" t="str">
        <f ca="1">IFERROR(__xludf.DUMMYFUNCTION("""COMPUTED_VALUE"""),"Kalyan Hazra")</f>
        <v>Kalyan Hazra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</row>
    <row r="7" spans="1:11" x14ac:dyDescent="0.3">
      <c r="A7">
        <v>1005</v>
      </c>
      <c r="B7" s="2" t="str">
        <f ca="1">IFERROR(__xludf.DUMMYFUNCTION("""COMPUTED_VALUE"""),"Narsingh Narayan Tiwari")</f>
        <v>Narsingh Narayan Tiwari</v>
      </c>
      <c r="C7" t="s">
        <v>42</v>
      </c>
      <c r="D7" t="s">
        <v>42</v>
      </c>
      <c r="E7" t="s">
        <v>44</v>
      </c>
      <c r="F7" t="s">
        <v>44</v>
      </c>
      <c r="G7" t="s">
        <v>44</v>
      </c>
      <c r="H7" t="s">
        <v>42</v>
      </c>
      <c r="I7" t="s">
        <v>42</v>
      </c>
      <c r="J7" t="s">
        <v>42</v>
      </c>
      <c r="K7" t="s">
        <v>42</v>
      </c>
    </row>
    <row r="8" spans="1:11" x14ac:dyDescent="0.3">
      <c r="A8">
        <v>1006</v>
      </c>
      <c r="B8" s="2" t="str">
        <f ca="1">IFERROR(__xludf.DUMMYFUNCTION("""COMPUTED_VALUE"""),"Pintu Kumar")</f>
        <v>Pintu Kumar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</row>
    <row r="9" spans="1:11" x14ac:dyDescent="0.3">
      <c r="A9">
        <v>1007</v>
      </c>
      <c r="B9" s="2" t="str">
        <f ca="1">IFERROR(__xludf.DUMMYFUNCTION("""COMPUTED_VALUE"""),"Sumit Sahu")</f>
        <v>Sumit Sahu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</row>
    <row r="10" spans="1:11" x14ac:dyDescent="0.3">
      <c r="A10">
        <v>1008</v>
      </c>
      <c r="B10" s="2" t="str">
        <f ca="1">IFERROR(__xludf.DUMMYFUNCTION("""COMPUTED_VALUE"""),"Shubham")</f>
        <v>Shubham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</row>
    <row r="11" spans="1:11" x14ac:dyDescent="0.3">
      <c r="A11">
        <v>1009</v>
      </c>
      <c r="B11" s="2" t="str">
        <f ca="1">IFERROR(__xludf.DUMMYFUNCTION("""COMPUTED_VALUE"""),"Sunil Kumar")</f>
        <v>Sunil Kumar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</row>
    <row r="12" spans="1:11" x14ac:dyDescent="0.3">
      <c r="A12">
        <v>1010</v>
      </c>
      <c r="B12" s="2" t="str">
        <f ca="1">IFERROR(__xludf.DUMMYFUNCTION("""COMPUTED_VALUE"""),"Pankaj")</f>
        <v>Pankaj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</row>
    <row r="13" spans="1:11" x14ac:dyDescent="0.3">
      <c r="A13">
        <v>1011</v>
      </c>
      <c r="B13" s="2" t="str">
        <f ca="1">IFERROR(__xludf.DUMMYFUNCTION("""COMPUTED_VALUE"""),"Ravi Kumar Singh")</f>
        <v>Ravi Kumar Singh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</row>
    <row r="14" spans="1:11" x14ac:dyDescent="0.3">
      <c r="A14">
        <v>1012</v>
      </c>
      <c r="B14" s="2" t="str">
        <f ca="1">IFERROR(__xludf.DUMMYFUNCTION("""COMPUTED_VALUE"""),"Niranjan Rout")</f>
        <v>Niranjan Rout</v>
      </c>
      <c r="C14" t="s">
        <v>42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</row>
    <row r="15" spans="1:11" x14ac:dyDescent="0.3">
      <c r="A15">
        <v>1013</v>
      </c>
      <c r="B15" s="2" t="str">
        <f ca="1">IFERROR(__xludf.DUMMYFUNCTION("""COMPUTED_VALUE"""),"Pujan Paswan")</f>
        <v>Pujan Paswan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</row>
    <row r="16" spans="1:11" x14ac:dyDescent="0.3">
      <c r="A16">
        <v>1014</v>
      </c>
      <c r="B16" s="2" t="str">
        <f ca="1">IFERROR(__xludf.DUMMYFUNCTION("""COMPUTED_VALUE"""),"Pallavi Kapoor")</f>
        <v>Pallavi Kapoor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</row>
    <row r="17" spans="1:11" x14ac:dyDescent="0.3">
      <c r="A17">
        <v>1015</v>
      </c>
      <c r="B17" s="2" t="str">
        <f ca="1">IFERROR(__xludf.DUMMYFUNCTION("""COMPUTED_VALUE"""),"Mr. Jogender Singh")</f>
        <v>Mr. Jogender Singh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</row>
    <row r="18" spans="1:11" x14ac:dyDescent="0.3">
      <c r="A18">
        <v>1016</v>
      </c>
      <c r="B18" s="2" t="str">
        <f ca="1">IFERROR(__xludf.DUMMYFUNCTION("""COMPUTED_VALUE"""),"Pawan Kumar Singh")</f>
        <v>Pawan Kumar Singh</v>
      </c>
      <c r="C18" t="s">
        <v>42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</row>
    <row r="19" spans="1:11" x14ac:dyDescent="0.3">
      <c r="A19">
        <v>1017</v>
      </c>
      <c r="B19" s="2" t="str">
        <f ca="1">IFERROR(__xludf.DUMMYFUNCTION("""COMPUTED_VALUE"""),"Pawan Kumar Singh")</f>
        <v>Pawan Kumar Singh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</row>
    <row r="20" spans="1:11" x14ac:dyDescent="0.3">
      <c r="A20">
        <v>1018</v>
      </c>
      <c r="B20" s="2" t="str">
        <f ca="1">IFERROR(__xludf.DUMMYFUNCTION("""COMPUTED_VALUE"""),"Sandeep Kumar")</f>
        <v>Sandeep Kumar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</row>
    <row r="21" spans="1:11" x14ac:dyDescent="0.3">
      <c r="A21">
        <v>1019</v>
      </c>
      <c r="B21" s="2" t="str">
        <f ca="1">IFERROR(__xludf.DUMMYFUNCTION("""COMPUTED_VALUE"""),"Safik Khan")</f>
        <v>Safik Khan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</row>
    <row r="22" spans="1:11" x14ac:dyDescent="0.3">
      <c r="A22">
        <v>1020</v>
      </c>
      <c r="B22" s="2" t="str">
        <f ca="1">IFERROR(__xludf.DUMMYFUNCTION("""COMPUTED_VALUE"""),"Vikash")</f>
        <v>Vikash</v>
      </c>
      <c r="C22" t="s">
        <v>42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</row>
    <row r="23" spans="1:11" x14ac:dyDescent="0.3">
      <c r="A23">
        <v>1021</v>
      </c>
      <c r="B23" s="2" t="str">
        <f ca="1">IFERROR(__xludf.DUMMYFUNCTION("""COMPUTED_VALUE"""),"Ankit Kumar Pandit")</f>
        <v>Ankit Kumar Pandit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</row>
    <row r="24" spans="1:11" x14ac:dyDescent="0.3">
      <c r="A24">
        <v>1022</v>
      </c>
      <c r="B24" s="2" t="str">
        <f ca="1">IFERROR(__xludf.DUMMYFUNCTION("""COMPUTED_VALUE"""),"Yogendra Kumar")</f>
        <v>Yogendra Kumar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</row>
    <row r="25" spans="1:11" x14ac:dyDescent="0.3">
      <c r="A25">
        <v>1023</v>
      </c>
      <c r="B25" s="2" t="str">
        <f ca="1">IFERROR(__xludf.DUMMYFUNCTION("""COMPUTED_VALUE"""),"Sewa Nand")</f>
        <v>Sewa Nand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</row>
    <row r="26" spans="1:11" x14ac:dyDescent="0.3">
      <c r="A26">
        <v>1024</v>
      </c>
      <c r="B26" s="2" t="str">
        <f ca="1">IFERROR(__xludf.DUMMYFUNCTION("""COMPUTED_VALUE"""),"Md Tausifur rahman")</f>
        <v>Md Tausifur rahman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</row>
    <row r="27" spans="1:11" x14ac:dyDescent="0.3">
      <c r="A27">
        <v>1025</v>
      </c>
      <c r="B27" s="2" t="str">
        <f ca="1">IFERROR(__xludf.DUMMYFUNCTION("""COMPUTED_VALUE"""),"Shiv Raj")</f>
        <v>Shiv Raj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</row>
    <row r="28" spans="1:11" x14ac:dyDescent="0.3">
      <c r="A28">
        <v>1026</v>
      </c>
      <c r="B28" s="2" t="str">
        <f ca="1">IFERROR(__xludf.DUMMYFUNCTION("""COMPUTED_VALUE"""),"Md Sabir Hussain")</f>
        <v>Md Sabir Hussain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</row>
    <row r="29" spans="1:11" x14ac:dyDescent="0.3">
      <c r="A29">
        <v>1027</v>
      </c>
      <c r="B29" s="2" t="str">
        <f ca="1">IFERROR(__xludf.DUMMYFUNCTION("""COMPUTED_VALUE"""),"Yogendra Singh")</f>
        <v>Yogendra Singh</v>
      </c>
      <c r="C29" t="s">
        <v>42</v>
      </c>
      <c r="D29" t="s">
        <v>42</v>
      </c>
      <c r="E29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</row>
    <row r="30" spans="1:11" x14ac:dyDescent="0.3">
      <c r="A30">
        <v>1028</v>
      </c>
      <c r="B30" s="2" t="str">
        <f ca="1">IFERROR(__xludf.DUMMYFUNCTION("""COMPUTED_VALUE"""),"Amarjeet")</f>
        <v>Amarjeet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</row>
    <row r="31" spans="1:11" x14ac:dyDescent="0.3">
      <c r="A31">
        <v>1029</v>
      </c>
      <c r="B31" s="2" t="str">
        <f ca="1">IFERROR(__xludf.DUMMYFUNCTION("""COMPUTED_VALUE"""),"Sonu")</f>
        <v>Sonu</v>
      </c>
      <c r="C31" t="s">
        <v>42</v>
      </c>
      <c r="D31" t="s">
        <v>42</v>
      </c>
      <c r="E31" t="s">
        <v>42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</row>
    <row r="32" spans="1:11" x14ac:dyDescent="0.3">
      <c r="A32">
        <v>1030</v>
      </c>
      <c r="B32" s="2" t="str">
        <f ca="1">IFERROR(__xludf.DUMMYFUNCTION("""COMPUTED_VALUE"""),"Shayam")</f>
        <v>Shayam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</row>
    <row r="33" spans="1:11" x14ac:dyDescent="0.3">
      <c r="A33">
        <v>1031</v>
      </c>
      <c r="B33" s="2" t="str">
        <f ca="1">IFERROR(__xludf.DUMMYFUNCTION("""COMPUTED_VALUE"""),"Nimai Das")</f>
        <v>Nimai Das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</row>
    <row r="34" spans="1:11" x14ac:dyDescent="0.3">
      <c r="A34">
        <v>1032</v>
      </c>
      <c r="B34" s="2" t="str">
        <f ca="1">IFERROR(__xludf.DUMMYFUNCTION("""COMPUTED_VALUE"""),"Karishma Sharma")</f>
        <v>Karishma Sharma</v>
      </c>
      <c r="C34" t="s">
        <v>42</v>
      </c>
      <c r="D34" t="s">
        <v>42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</row>
    <row r="35" spans="1:11" x14ac:dyDescent="0.3">
      <c r="A35">
        <v>1033</v>
      </c>
      <c r="B35" s="2" t="str">
        <f ca="1">IFERROR(__xludf.DUMMYFUNCTION("""COMPUTED_VALUE"""),"Pappu Kumar")</f>
        <v>Pappu Kumar</v>
      </c>
      <c r="C35" t="s">
        <v>42</v>
      </c>
      <c r="D35" t="s">
        <v>42</v>
      </c>
      <c r="E35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</row>
    <row r="36" spans="1:11" x14ac:dyDescent="0.3">
      <c r="A36">
        <v>1034</v>
      </c>
      <c r="B36" s="2" t="str">
        <f ca="1">IFERROR(__xludf.DUMMYFUNCTION("""COMPUTED_VALUE"""),"Mohammad Washim")</f>
        <v>Mohammad Washim</v>
      </c>
      <c r="C36" t="s">
        <v>42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</row>
    <row r="37" spans="1:11" x14ac:dyDescent="0.3">
      <c r="A37">
        <v>1035</v>
      </c>
      <c r="B37" s="2" t="str">
        <f ca="1">IFERROR(__xludf.DUMMYFUNCTION("""COMPUTED_VALUE"""),"Abhishek Tiwari")</f>
        <v>Abhishek Tiwari</v>
      </c>
      <c r="C37" t="s">
        <v>42</v>
      </c>
      <c r="D37" t="s">
        <v>42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</row>
    <row r="38" spans="1:11" x14ac:dyDescent="0.3">
      <c r="A38">
        <v>1036</v>
      </c>
      <c r="B38" s="2" t="str">
        <f ca="1">IFERROR(__xludf.DUMMYFUNCTION("""COMPUTED_VALUE"""),"Guddu Kumar Jha")</f>
        <v>Guddu Kumar Jha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</row>
    <row r="39" spans="1:11" x14ac:dyDescent="0.3">
      <c r="A39">
        <v>1037</v>
      </c>
      <c r="B39" s="2" t="str">
        <f ca="1">IFERROR(__xludf.DUMMYFUNCTION("""COMPUTED_VALUE"""),"Anup Pratap Singh")</f>
        <v>Anup Pratap Singh</v>
      </c>
      <c r="C39" t="s">
        <v>42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</row>
    <row r="40" spans="1:11" x14ac:dyDescent="0.3">
      <c r="A40">
        <v>1038</v>
      </c>
      <c r="B40" s="2" t="str">
        <f ca="1">IFERROR(__xludf.DUMMYFUNCTION("""COMPUTED_VALUE"""),"Shankar Haldar")</f>
        <v>Shankar Haldar</v>
      </c>
      <c r="C40" t="s">
        <v>42</v>
      </c>
      <c r="D40" t="s">
        <v>42</v>
      </c>
      <c r="E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</row>
    <row r="41" spans="1:11" x14ac:dyDescent="0.3">
      <c r="A41">
        <v>1039</v>
      </c>
      <c r="B41" s="2" t="str">
        <f ca="1">IFERROR(__xludf.DUMMYFUNCTION("""COMPUTED_VALUE"""),"Sanjay Kumar Singh")</f>
        <v>Sanjay Kumar Singh</v>
      </c>
      <c r="C41" t="s">
        <v>42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</row>
    <row r="42" spans="1:11" x14ac:dyDescent="0.3">
      <c r="A42">
        <v>1040</v>
      </c>
      <c r="B42" s="2" t="str">
        <f ca="1">IFERROR(__xludf.DUMMYFUNCTION("""COMPUTED_VALUE"""),"Parveen Begam")</f>
        <v>Parveen Begam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</row>
    <row r="43" spans="1:11" x14ac:dyDescent="0.3">
      <c r="A43">
        <v>1041</v>
      </c>
      <c r="B43" s="2" t="str">
        <f ca="1">IFERROR(__xludf.DUMMYFUNCTION("""COMPUTED_VALUE"""),"Suresh ray")</f>
        <v>Suresh ray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</row>
    <row r="44" spans="1:11" x14ac:dyDescent="0.3">
      <c r="A44">
        <v>1042</v>
      </c>
      <c r="B44" s="2" t="str">
        <f ca="1">IFERROR(__xludf.DUMMYFUNCTION("""COMPUTED_VALUE"""),"Suresh Ram Tiruwa")</f>
        <v>Suresh Ram Tiruwa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</row>
    <row r="45" spans="1:11" x14ac:dyDescent="0.3">
      <c r="A45">
        <v>1043</v>
      </c>
      <c r="B45" s="2" t="str">
        <f ca="1">IFERROR(__xludf.DUMMYFUNCTION("""COMPUTED_VALUE"""),"Shiv Narayan Sahu")</f>
        <v>Shiv Narayan Sahu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</row>
    <row r="46" spans="1:11" x14ac:dyDescent="0.3">
      <c r="A46">
        <v>1044</v>
      </c>
      <c r="B46" s="2" t="str">
        <f ca="1">IFERROR(__xludf.DUMMYFUNCTION("""COMPUTED_VALUE"""),"Raghubir Singh")</f>
        <v>Raghubir Singh</v>
      </c>
      <c r="C46" t="s">
        <v>42</v>
      </c>
      <c r="D46" t="s">
        <v>42</v>
      </c>
      <c r="E46" t="s">
        <v>42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</row>
    <row r="47" spans="1:11" x14ac:dyDescent="0.3">
      <c r="A47">
        <v>1045</v>
      </c>
      <c r="B47" s="2" t="str">
        <f ca="1">IFERROR(__xludf.DUMMYFUNCTION("""COMPUTED_VALUE"""),"Pradeep Kumar Singh")</f>
        <v>Pradeep Kumar Singh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42</v>
      </c>
      <c r="I47" t="s">
        <v>42</v>
      </c>
      <c r="J47" t="s">
        <v>42</v>
      </c>
      <c r="K47" t="s">
        <v>42</v>
      </c>
    </row>
    <row r="48" spans="1:11" x14ac:dyDescent="0.3">
      <c r="A48">
        <v>1046</v>
      </c>
      <c r="B48" s="2" t="str">
        <f ca="1">IFERROR(__xludf.DUMMYFUNCTION("""COMPUTED_VALUE"""),"Vishwajeet Kumar Singh")</f>
        <v>Vishwajeet Kumar Singh</v>
      </c>
      <c r="C48" t="s">
        <v>42</v>
      </c>
      <c r="D48" t="s">
        <v>42</v>
      </c>
      <c r="E48" t="s">
        <v>42</v>
      </c>
      <c r="F48" t="s">
        <v>42</v>
      </c>
      <c r="G48" t="s">
        <v>42</v>
      </c>
      <c r="H48" t="s">
        <v>42</v>
      </c>
      <c r="I48" t="s">
        <v>42</v>
      </c>
      <c r="J48" t="s">
        <v>42</v>
      </c>
      <c r="K48" t="s">
        <v>42</v>
      </c>
    </row>
    <row r="49" spans="1:11" x14ac:dyDescent="0.3">
      <c r="A49">
        <v>1047</v>
      </c>
      <c r="B49" s="2" t="str">
        <f ca="1">IFERROR(__xludf.DUMMYFUNCTION("""COMPUTED_VALUE"""),"Mohd Sabir")</f>
        <v>Mohd Sabir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</row>
    <row r="50" spans="1:11" x14ac:dyDescent="0.3">
      <c r="A50">
        <v>1048</v>
      </c>
      <c r="B50" s="2" t="str">
        <f ca="1">IFERROR(__xludf.DUMMYFUNCTION("""COMPUTED_VALUE"""),"Raju Kumar Pal")</f>
        <v>Raju Kumar Pal</v>
      </c>
      <c r="C50" t="s">
        <v>42</v>
      </c>
      <c r="D50" t="s">
        <v>42</v>
      </c>
      <c r="E50" t="s">
        <v>42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42</v>
      </c>
    </row>
    <row r="51" spans="1:11" x14ac:dyDescent="0.3">
      <c r="A51">
        <v>1049</v>
      </c>
      <c r="B51" s="2" t="str">
        <f ca="1">IFERROR(__xludf.DUMMYFUNCTION("""COMPUTED_VALUE"""),"Gour Chandra Das")</f>
        <v>Gour Chandra Das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t="s">
        <v>42</v>
      </c>
    </row>
    <row r="52" spans="1:11" x14ac:dyDescent="0.3">
      <c r="A52">
        <v>1050</v>
      </c>
      <c r="B52" s="2" t="str">
        <f ca="1">IFERROR(__xludf.DUMMYFUNCTION("""COMPUTED_VALUE"""),"Rijwan Khan")</f>
        <v>Rijwan Khan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</row>
    <row r="53" spans="1:11" x14ac:dyDescent="0.3">
      <c r="A53">
        <v>1051</v>
      </c>
      <c r="B53" s="2" t="str">
        <f ca="1">IFERROR(__xludf.DUMMYFUNCTION("""COMPUTED_VALUE"""),"Raj Kumar Biswas")</f>
        <v>Raj Kumar Biswas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</row>
    <row r="54" spans="1:11" x14ac:dyDescent="0.3">
      <c r="A54">
        <v>1052</v>
      </c>
      <c r="B54" s="2" t="str">
        <f ca="1">IFERROR(__xludf.DUMMYFUNCTION("""COMPUTED_VALUE"""),"Om Prakash Singh")</f>
        <v>Om Prakash Singh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</row>
    <row r="55" spans="1:11" x14ac:dyDescent="0.3">
      <c r="A55">
        <v>1053</v>
      </c>
      <c r="B55" s="2" t="str">
        <f ca="1">IFERROR(__xludf.DUMMYFUNCTION("""COMPUTED_VALUE"""),"Shiburam Bijali")</f>
        <v>Shiburam Bijali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</row>
    <row r="56" spans="1:11" x14ac:dyDescent="0.3">
      <c r="A56">
        <v>1054</v>
      </c>
      <c r="B56" s="2" t="str">
        <f ca="1">IFERROR(__xludf.DUMMYFUNCTION("""COMPUTED_VALUE"""),"Anil Kumar Jha")</f>
        <v>Anil Kumar Jha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</row>
    <row r="57" spans="1:11" x14ac:dyDescent="0.3">
      <c r="A57">
        <v>1055</v>
      </c>
      <c r="B57" s="2" t="str">
        <f ca="1">IFERROR(__xludf.DUMMYFUNCTION("""COMPUTED_VALUE"""),"Babulal Prasad")</f>
        <v>Babulal Prasad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</row>
    <row r="58" spans="1:11" x14ac:dyDescent="0.3">
      <c r="A58">
        <v>1056</v>
      </c>
      <c r="B58" s="2" t="str">
        <f ca="1">IFERROR(__xludf.DUMMYFUNCTION("""COMPUTED_VALUE"""),"Manoj Kapoor")</f>
        <v>Manoj Kapoor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</row>
    <row r="59" spans="1:11" x14ac:dyDescent="0.3">
      <c r="A59">
        <v>1057</v>
      </c>
      <c r="B59" s="2" t="str">
        <f ca="1">IFERROR(__xludf.DUMMYFUNCTION("""COMPUTED_VALUE"""),"Rajesh Mandal")</f>
        <v>Rajesh Mandal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t="s">
        <v>42</v>
      </c>
    </row>
    <row r="60" spans="1:11" x14ac:dyDescent="0.3">
      <c r="A60">
        <v>1058</v>
      </c>
      <c r="B60" s="2" t="str">
        <f ca="1">IFERROR(__xludf.DUMMYFUNCTION("""COMPUTED_VALUE"""),"Pushpak Priyadarshi")</f>
        <v>Pushpak Priyadarshi</v>
      </c>
      <c r="C60" t="s">
        <v>42</v>
      </c>
      <c r="D60" t="s">
        <v>42</v>
      </c>
      <c r="E60" t="s">
        <v>42</v>
      </c>
      <c r="F60" t="s">
        <v>42</v>
      </c>
      <c r="G60" t="s">
        <v>42</v>
      </c>
      <c r="H60" t="s">
        <v>42</v>
      </c>
      <c r="I60" t="s">
        <v>42</v>
      </c>
      <c r="J60" t="s">
        <v>42</v>
      </c>
      <c r="K60" t="s">
        <v>42</v>
      </c>
    </row>
    <row r="61" spans="1:11" x14ac:dyDescent="0.3">
      <c r="A61">
        <v>1059</v>
      </c>
      <c r="B61" s="2" t="str">
        <f ca="1">IFERROR(__xludf.DUMMYFUNCTION("""COMPUTED_VALUE"""),"Naveen Kumar singh")</f>
        <v>Naveen Kumar singh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</row>
    <row r="62" spans="1:11" x14ac:dyDescent="0.3">
      <c r="A62">
        <v>1060</v>
      </c>
      <c r="B62" s="2" t="str">
        <f ca="1">IFERROR(__xludf.DUMMYFUNCTION("""COMPUTED_VALUE"""),"Sunil Rawat")</f>
        <v>Sunil Rawat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</row>
    <row r="63" spans="1:11" x14ac:dyDescent="0.3">
      <c r="A63">
        <v>1061</v>
      </c>
      <c r="B63" s="2" t="str">
        <f ca="1">IFERROR(__xludf.DUMMYFUNCTION("""COMPUTED_VALUE"""),"Yogesh")</f>
        <v>Yogesh</v>
      </c>
      <c r="C63" t="s">
        <v>42</v>
      </c>
      <c r="D63" t="s">
        <v>42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</row>
    <row r="64" spans="1:11" x14ac:dyDescent="0.3">
      <c r="A64">
        <v>1062</v>
      </c>
      <c r="B64" s="2" t="str">
        <f ca="1">IFERROR(__xludf.DUMMYFUNCTION("""COMPUTED_VALUE"""),"Shambhu Nath Ram")</f>
        <v>Shambhu Nath Ram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</row>
    <row r="65" spans="1:11" x14ac:dyDescent="0.3">
      <c r="A65">
        <v>1063</v>
      </c>
      <c r="B65" s="2" t="str">
        <f ca="1">IFERROR(__xludf.DUMMYFUNCTION("""COMPUTED_VALUE"""),"Vishal Ray")</f>
        <v>Vishal Ray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</row>
    <row r="66" spans="1:11" x14ac:dyDescent="0.3">
      <c r="A66">
        <v>1064</v>
      </c>
      <c r="B66" s="2" t="str">
        <f ca="1">IFERROR(__xludf.DUMMYFUNCTION("""COMPUTED_VALUE"""),"Sunil Rawat")</f>
        <v>Sunil Rawat</v>
      </c>
      <c r="C66" t="s">
        <v>42</v>
      </c>
      <c r="D66" t="s">
        <v>42</v>
      </c>
      <c r="E66" t="s">
        <v>42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</row>
    <row r="67" spans="1:11" x14ac:dyDescent="0.3">
      <c r="A67">
        <v>1065</v>
      </c>
      <c r="B67" s="2" t="str">
        <f ca="1">IFERROR(__xludf.DUMMYFUNCTION("""COMPUTED_VALUE"""),"Manas Jana")</f>
        <v>Manas Jana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 t="s">
        <v>42</v>
      </c>
    </row>
    <row r="68" spans="1:11" x14ac:dyDescent="0.3">
      <c r="A68">
        <v>1066</v>
      </c>
      <c r="B68" s="2" t="str">
        <f ca="1">IFERROR(__xludf.DUMMYFUNCTION("""COMPUTED_VALUE"""),"Raj Kumar Singh")</f>
        <v>Raj Kumar Singh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42</v>
      </c>
      <c r="I68" t="s">
        <v>42</v>
      </c>
      <c r="J68" t="s">
        <v>42</v>
      </c>
      <c r="K68" t="s">
        <v>42</v>
      </c>
    </row>
    <row r="69" spans="1:11" x14ac:dyDescent="0.3">
      <c r="A69">
        <v>1067</v>
      </c>
      <c r="B69" s="2" t="str">
        <f ca="1">IFERROR(__xludf.DUMMYFUNCTION("""COMPUTED_VALUE"""),"Akhilesh Singh")</f>
        <v>Akhilesh Singh</v>
      </c>
      <c r="C69" t="s">
        <v>42</v>
      </c>
      <c r="D69" t="s">
        <v>42</v>
      </c>
      <c r="E69" t="s">
        <v>42</v>
      </c>
      <c r="F69" t="s">
        <v>42</v>
      </c>
      <c r="G69" t="s">
        <v>42</v>
      </c>
      <c r="H69" t="s">
        <v>42</v>
      </c>
      <c r="I69" t="s">
        <v>42</v>
      </c>
      <c r="J69" t="s">
        <v>42</v>
      </c>
      <c r="K69" t="s">
        <v>42</v>
      </c>
    </row>
    <row r="70" spans="1:11" x14ac:dyDescent="0.3">
      <c r="A70">
        <v>1068</v>
      </c>
      <c r="B70" s="2" t="str">
        <f ca="1">IFERROR(__xludf.DUMMYFUNCTION("""COMPUTED_VALUE"""),"Mukesh")</f>
        <v>Mukesh</v>
      </c>
      <c r="C70" t="s">
        <v>42</v>
      </c>
      <c r="D70" t="s">
        <v>42</v>
      </c>
      <c r="E70" t="s">
        <v>42</v>
      </c>
      <c r="F70" t="s">
        <v>42</v>
      </c>
      <c r="G70" t="s">
        <v>42</v>
      </c>
      <c r="H70" t="s">
        <v>42</v>
      </c>
      <c r="I70" t="s">
        <v>42</v>
      </c>
      <c r="J70" t="s">
        <v>42</v>
      </c>
      <c r="K70" t="s">
        <v>42</v>
      </c>
    </row>
    <row r="71" spans="1:11" x14ac:dyDescent="0.3">
      <c r="A71">
        <v>1069</v>
      </c>
      <c r="B71" s="2" t="str">
        <f ca="1">IFERROR(__xludf.DUMMYFUNCTION("""COMPUTED_VALUE"""),"Ajay Kumar Singh")</f>
        <v>Ajay Kumar Singh</v>
      </c>
      <c r="C71" t="s">
        <v>42</v>
      </c>
      <c r="D71" t="s">
        <v>42</v>
      </c>
      <c r="E71" t="s">
        <v>42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</row>
    <row r="72" spans="1:11" x14ac:dyDescent="0.3">
      <c r="A72">
        <v>1070</v>
      </c>
      <c r="B72" s="2" t="str">
        <f ca="1">IFERROR(__xludf.DUMMYFUNCTION("""COMPUTED_VALUE"""),"Rajendra Singh")</f>
        <v>Rajendra Singh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 t="s">
        <v>42</v>
      </c>
    </row>
    <row r="73" spans="1:11" x14ac:dyDescent="0.3">
      <c r="A73">
        <v>1071</v>
      </c>
      <c r="B73" s="2" t="str">
        <f ca="1">IFERROR(__xludf.DUMMYFUNCTION("""COMPUTED_VALUE"""),"Satrughan Kumar")</f>
        <v>Satrughan Kumar</v>
      </c>
      <c r="C73" t="s">
        <v>42</v>
      </c>
      <c r="D73" t="s">
        <v>42</v>
      </c>
      <c r="E73" t="s">
        <v>42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</row>
    <row r="74" spans="1:11" x14ac:dyDescent="0.3">
      <c r="A74">
        <v>1072</v>
      </c>
      <c r="B74" s="2" t="str">
        <f ca="1">IFERROR(__xludf.DUMMYFUNCTION("""COMPUTED_VALUE"""),"Fiza Sidiqi")</f>
        <v>Fiza Sidiqi</v>
      </c>
      <c r="C74" t="s">
        <v>42</v>
      </c>
      <c r="D74" t="s">
        <v>42</v>
      </c>
      <c r="E74" t="s">
        <v>42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</row>
    <row r="75" spans="1:11" x14ac:dyDescent="0.3">
      <c r="A75">
        <v>1073</v>
      </c>
      <c r="B75" s="2" t="str">
        <f ca="1">IFERROR(__xludf.DUMMYFUNCTION("""COMPUTED_VALUE"""),"Pallavi Kapoor")</f>
        <v>Pallavi Kapoor</v>
      </c>
      <c r="C75" t="s">
        <v>42</v>
      </c>
      <c r="D75" t="s">
        <v>42</v>
      </c>
      <c r="E75" t="s">
        <v>42</v>
      </c>
      <c r="F75" t="s">
        <v>42</v>
      </c>
      <c r="G75" t="s">
        <v>42</v>
      </c>
      <c r="H75" t="s">
        <v>42</v>
      </c>
      <c r="I75" t="s">
        <v>42</v>
      </c>
      <c r="J75" t="s">
        <v>42</v>
      </c>
      <c r="K75" t="s">
        <v>42</v>
      </c>
    </row>
    <row r="76" spans="1:11" x14ac:dyDescent="0.3">
      <c r="A76">
        <v>1074</v>
      </c>
      <c r="B76" s="2" t="str">
        <f ca="1">IFERROR(__xludf.DUMMYFUNCTION("""COMPUTED_VALUE"""),"Karishma Sharma")</f>
        <v>Karishma Sharma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t="s">
        <v>42</v>
      </c>
    </row>
    <row r="77" spans="1:11" x14ac:dyDescent="0.3">
      <c r="A77">
        <v>1075</v>
      </c>
      <c r="B77" s="2" t="str">
        <f ca="1">IFERROR(__xludf.DUMMYFUNCTION("""COMPUTED_VALUE"""),"Mr. Jogender Singh")</f>
        <v>Mr. Jogender Singh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</row>
    <row r="78" spans="1:11" x14ac:dyDescent="0.3">
      <c r="A78">
        <v>1076</v>
      </c>
      <c r="B78" s="2" t="str">
        <f ca="1">IFERROR(__xludf.DUMMYFUNCTION("""COMPUTED_VALUE"""),"Fiza Sidiqi")</f>
        <v>Fiza Sidiqi</v>
      </c>
      <c r="C78" t="s">
        <v>42</v>
      </c>
      <c r="D78" t="s">
        <v>42</v>
      </c>
      <c r="E78" t="s">
        <v>42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</row>
    <row r="79" spans="1:11" x14ac:dyDescent="0.3">
      <c r="A79">
        <v>1077</v>
      </c>
      <c r="B79" s="2" t="str">
        <f ca="1">IFERROR(__xludf.DUMMYFUNCTION("""COMPUTED_VALUE"""),"Niranjan Rout")</f>
        <v>Niranjan Rout</v>
      </c>
      <c r="C79" t="s">
        <v>42</v>
      </c>
      <c r="D79" t="s">
        <v>42</v>
      </c>
      <c r="E79" t="s">
        <v>42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t="s">
        <v>42</v>
      </c>
    </row>
    <row r="80" spans="1:11" x14ac:dyDescent="0.3">
      <c r="A80">
        <v>1078</v>
      </c>
      <c r="B80" s="2" t="str">
        <f ca="1">IFERROR(__xludf.DUMMYFUNCTION("""COMPUTED_VALUE"""),"Narsingh Narayan Tiwari")</f>
        <v>Narsingh Narayan Tiwari</v>
      </c>
      <c r="C80" t="s">
        <v>42</v>
      </c>
      <c r="D80" t="s">
        <v>42</v>
      </c>
      <c r="E80" t="s">
        <v>42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42</v>
      </c>
    </row>
    <row r="81" spans="1:11" x14ac:dyDescent="0.3">
      <c r="A81">
        <v>1079</v>
      </c>
      <c r="B81" s="2" t="str">
        <f ca="1">IFERROR(__xludf.DUMMYFUNCTION("""COMPUTED_VALUE"""),"Pankaj")</f>
        <v>Pankaj</v>
      </c>
      <c r="C81" t="s">
        <v>42</v>
      </c>
      <c r="D81" t="s">
        <v>42</v>
      </c>
      <c r="E81" t="s">
        <v>42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 t="s">
        <v>42</v>
      </c>
    </row>
    <row r="82" spans="1:11" x14ac:dyDescent="0.3">
      <c r="A82">
        <v>1080</v>
      </c>
      <c r="B82" s="2" t="str">
        <f ca="1">IFERROR(__xludf.DUMMYFUNCTION("""COMPUTED_VALUE"""),"Manoj")</f>
        <v>Manoj</v>
      </c>
      <c r="C82" t="s">
        <v>42</v>
      </c>
      <c r="D82" t="s">
        <v>42</v>
      </c>
      <c r="E82" t="s">
        <v>42</v>
      </c>
      <c r="F82" t="s">
        <v>42</v>
      </c>
      <c r="G82" t="s">
        <v>42</v>
      </c>
      <c r="H82" t="s">
        <v>42</v>
      </c>
      <c r="I82" t="s">
        <v>42</v>
      </c>
      <c r="J82" t="s">
        <v>42</v>
      </c>
      <c r="K82" t="s">
        <v>42</v>
      </c>
    </row>
    <row r="83" spans="1:11" x14ac:dyDescent="0.3">
      <c r="A83">
        <v>1081</v>
      </c>
      <c r="B83" s="2" t="str">
        <f ca="1">IFERROR(__xludf.DUMMYFUNCTION("""COMPUTED_VALUE"""),"Parveen Begam")</f>
        <v>Parveen Begam</v>
      </c>
      <c r="C83" t="s">
        <v>42</v>
      </c>
      <c r="D83" t="s">
        <v>42</v>
      </c>
      <c r="E83" t="s">
        <v>42</v>
      </c>
      <c r="F83" t="s">
        <v>42</v>
      </c>
      <c r="G83" t="s">
        <v>42</v>
      </c>
      <c r="H83" t="s">
        <v>42</v>
      </c>
      <c r="I83" t="s">
        <v>42</v>
      </c>
      <c r="J83" t="s">
        <v>42</v>
      </c>
      <c r="K83" t="s">
        <v>42</v>
      </c>
    </row>
    <row r="84" spans="1:11" x14ac:dyDescent="0.3">
      <c r="A84">
        <v>1082</v>
      </c>
      <c r="B84" s="2" t="str">
        <f ca="1">IFERROR(__xludf.DUMMYFUNCTION("""COMPUTED_VALUE"""),"Yogendra Kumar")</f>
        <v>Yogendra Kumar</v>
      </c>
      <c r="C84" t="s">
        <v>42</v>
      </c>
      <c r="D84" t="s">
        <v>42</v>
      </c>
      <c r="E84" t="s">
        <v>42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</row>
    <row r="85" spans="1:11" x14ac:dyDescent="0.3">
      <c r="A85">
        <v>1083</v>
      </c>
      <c r="B85" s="2" t="str">
        <f ca="1">IFERROR(__xludf.DUMMYFUNCTION("""COMPUTED_VALUE"""),"Suresh Ram Tiruwa")</f>
        <v>Suresh Ram Tiruwa</v>
      </c>
      <c r="C85" t="s">
        <v>42</v>
      </c>
      <c r="D85" t="s">
        <v>42</v>
      </c>
      <c r="E85" t="s">
        <v>42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t="s">
        <v>42</v>
      </c>
    </row>
    <row r="86" spans="1:11" x14ac:dyDescent="0.3">
      <c r="A86">
        <v>1084</v>
      </c>
      <c r="B86" s="2" t="str">
        <f ca="1">IFERROR(__xludf.DUMMYFUNCTION("""COMPUTED_VALUE"""),"Yogesh")</f>
        <v>Yogesh</v>
      </c>
      <c r="C86" t="s">
        <v>42</v>
      </c>
      <c r="D86" t="s">
        <v>42</v>
      </c>
      <c r="E86" t="s">
        <v>42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 t="s">
        <v>42</v>
      </c>
    </row>
    <row r="87" spans="1:11" x14ac:dyDescent="0.3">
      <c r="A87">
        <v>1085</v>
      </c>
      <c r="B87" s="2" t="str">
        <f ca="1">IFERROR(__xludf.DUMMYFUNCTION("""COMPUTED_VALUE"""),"Pujan Paswan")</f>
        <v>Pujan Paswan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</row>
    <row r="88" spans="1:11" x14ac:dyDescent="0.3">
      <c r="A88">
        <v>1086</v>
      </c>
      <c r="B88" s="2" t="str">
        <f ca="1">IFERROR(__xludf.DUMMYFUNCTION("""COMPUTED_VALUE"""),"Sumit Sahu")</f>
        <v>Sumit Sahu</v>
      </c>
      <c r="C88" t="s">
        <v>42</v>
      </c>
      <c r="D88" t="s">
        <v>42</v>
      </c>
      <c r="E88" t="s">
        <v>42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</row>
    <row r="89" spans="1:11" x14ac:dyDescent="0.3">
      <c r="A89">
        <v>1087</v>
      </c>
      <c r="B89" s="2" t="str">
        <f ca="1">IFERROR(__xludf.DUMMYFUNCTION("""COMPUTED_VALUE"""),"Anil Kumar Jha")</f>
        <v>Anil Kumar Jha</v>
      </c>
      <c r="C89" t="s">
        <v>42</v>
      </c>
      <c r="D89" t="s">
        <v>42</v>
      </c>
      <c r="E89" t="s">
        <v>42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t="s">
        <v>42</v>
      </c>
    </row>
  </sheetData>
  <conditionalFormatting sqref="C1:K1048576">
    <cfRule type="cellIs" dxfId="0" priority="1" operator="equal">
      <formula>"AB"</formula>
    </cfRule>
  </conditionalFormatting>
  <dataValidations count="1">
    <dataValidation type="list" allowBlank="1" showInputMessage="1" showErrorMessage="1" sqref="C3:K89" xr:uid="{60E3B9C0-DDBF-4A22-BC2E-0E37D943E5F9}">
      <formula1>"P,AB,SL,PL"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D1C5-9600-4EF5-B868-9662385C013C}">
  <dimension ref="A1:K24"/>
  <sheetViews>
    <sheetView zoomScale="160" zoomScaleNormal="160" workbookViewId="0">
      <selection activeCell="F3" sqref="F3:F8"/>
    </sheetView>
  </sheetViews>
  <sheetFormatPr defaultRowHeight="14.4" x14ac:dyDescent="0.3"/>
  <cols>
    <col min="2" max="2" width="17.5546875" bestFit="1" customWidth="1"/>
    <col min="6" max="6" width="12.33203125" customWidth="1"/>
  </cols>
  <sheetData>
    <row r="1" spans="1:11" x14ac:dyDescent="0.3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</row>
    <row r="3" spans="1:11" x14ac:dyDescent="0.3">
      <c r="A3" s="6">
        <v>1</v>
      </c>
      <c r="B3" s="6" t="s">
        <v>15</v>
      </c>
      <c r="C3" s="6">
        <v>25</v>
      </c>
      <c r="D3" s="6">
        <v>35</v>
      </c>
      <c r="E3" s="6">
        <v>82</v>
      </c>
      <c r="F3" s="6">
        <f t="shared" ref="F3:F8" si="0">SUM(C3:E3)</f>
        <v>142</v>
      </c>
      <c r="G3" s="6">
        <f t="shared" ref="G3:G8" si="1">MAX(C3:E3)</f>
        <v>82</v>
      </c>
      <c r="H3" s="6">
        <f t="shared" ref="H3:H8" si="2">MIN(C3:E3)</f>
        <v>25</v>
      </c>
      <c r="I3" s="6">
        <f t="shared" ref="I3:I8" si="3">COUNT(C3:E3)</f>
        <v>3</v>
      </c>
      <c r="J3" s="7">
        <f t="shared" ref="J3:J8" si="4">AVERAGE(C3:E3)</f>
        <v>47.333333333333336</v>
      </c>
      <c r="K3" s="7">
        <f t="shared" ref="K3:K8" si="5">F3/350*100</f>
        <v>40.571428571428569</v>
      </c>
    </row>
    <row r="4" spans="1:11" x14ac:dyDescent="0.3">
      <c r="A4" s="6">
        <v>2</v>
      </c>
      <c r="B4" s="6" t="s">
        <v>16</v>
      </c>
      <c r="C4" s="6">
        <v>22</v>
      </c>
      <c r="D4" s="6">
        <v>35</v>
      </c>
      <c r="E4" s="6">
        <v>75</v>
      </c>
      <c r="F4" s="6">
        <f t="shared" si="0"/>
        <v>132</v>
      </c>
      <c r="G4" s="6">
        <f t="shared" si="1"/>
        <v>75</v>
      </c>
      <c r="H4" s="6">
        <f t="shared" si="2"/>
        <v>22</v>
      </c>
      <c r="I4" s="6">
        <f t="shared" si="3"/>
        <v>3</v>
      </c>
      <c r="J4" s="7">
        <f t="shared" si="4"/>
        <v>44</v>
      </c>
      <c r="K4" s="7">
        <f t="shared" si="5"/>
        <v>37.714285714285715</v>
      </c>
    </row>
    <row r="5" spans="1:11" x14ac:dyDescent="0.3">
      <c r="A5" s="6">
        <v>3</v>
      </c>
      <c r="B5" s="6" t="s">
        <v>17</v>
      </c>
      <c r="C5" s="6">
        <v>25</v>
      </c>
      <c r="D5" s="6">
        <v>76</v>
      </c>
      <c r="E5" s="6">
        <v>76</v>
      </c>
      <c r="F5" s="6">
        <f t="shared" si="0"/>
        <v>177</v>
      </c>
      <c r="G5" s="6">
        <f t="shared" si="1"/>
        <v>76</v>
      </c>
      <c r="H5" s="6">
        <f t="shared" si="2"/>
        <v>25</v>
      </c>
      <c r="I5" s="6">
        <f t="shared" si="3"/>
        <v>3</v>
      </c>
      <c r="J5" s="7">
        <f t="shared" si="4"/>
        <v>59</v>
      </c>
      <c r="K5" s="7">
        <f t="shared" si="5"/>
        <v>50.571428571428569</v>
      </c>
    </row>
    <row r="6" spans="1:11" x14ac:dyDescent="0.3">
      <c r="A6" s="6">
        <v>4</v>
      </c>
      <c r="B6" s="6" t="s">
        <v>18</v>
      </c>
      <c r="C6" s="6">
        <v>11</v>
      </c>
      <c r="D6" s="6">
        <v>12</v>
      </c>
      <c r="E6" s="6">
        <v>11</v>
      </c>
      <c r="F6" s="6">
        <f t="shared" si="0"/>
        <v>34</v>
      </c>
      <c r="G6" s="6">
        <f t="shared" si="1"/>
        <v>12</v>
      </c>
      <c r="H6" s="6">
        <f t="shared" si="2"/>
        <v>11</v>
      </c>
      <c r="I6" s="6">
        <f t="shared" si="3"/>
        <v>3</v>
      </c>
      <c r="J6" s="7">
        <f t="shared" si="4"/>
        <v>11.333333333333334</v>
      </c>
      <c r="K6" s="7">
        <f t="shared" si="5"/>
        <v>9.7142857142857135</v>
      </c>
    </row>
    <row r="7" spans="1:11" x14ac:dyDescent="0.3">
      <c r="A7" s="6">
        <v>5</v>
      </c>
      <c r="B7" s="6" t="s">
        <v>19</v>
      </c>
      <c r="C7" s="6">
        <v>58</v>
      </c>
      <c r="D7" s="6">
        <v>90</v>
      </c>
      <c r="E7" s="6">
        <v>21</v>
      </c>
      <c r="F7" s="6">
        <f t="shared" si="0"/>
        <v>169</v>
      </c>
      <c r="G7" s="6">
        <f t="shared" si="1"/>
        <v>90</v>
      </c>
      <c r="H7" s="6">
        <f t="shared" si="2"/>
        <v>21</v>
      </c>
      <c r="I7" s="6">
        <f t="shared" si="3"/>
        <v>3</v>
      </c>
      <c r="J7" s="7">
        <f t="shared" si="4"/>
        <v>56.333333333333336</v>
      </c>
      <c r="K7" s="7">
        <f t="shared" si="5"/>
        <v>48.285714285714285</v>
      </c>
    </row>
    <row r="8" spans="1:11" x14ac:dyDescent="0.3">
      <c r="A8" s="6">
        <v>6</v>
      </c>
      <c r="B8" s="6" t="s">
        <v>20</v>
      </c>
      <c r="C8" s="6">
        <v>45</v>
      </c>
      <c r="D8" s="6">
        <v>46</v>
      </c>
      <c r="E8" s="6">
        <v>94</v>
      </c>
      <c r="F8" s="6">
        <f t="shared" si="0"/>
        <v>185</v>
      </c>
      <c r="G8" s="6">
        <f t="shared" si="1"/>
        <v>94</v>
      </c>
      <c r="H8" s="6">
        <f t="shared" si="2"/>
        <v>45</v>
      </c>
      <c r="I8" s="6">
        <f t="shared" si="3"/>
        <v>3</v>
      </c>
      <c r="J8" s="7">
        <f t="shared" si="4"/>
        <v>61.666666666666664</v>
      </c>
      <c r="K8" s="7">
        <f t="shared" si="5"/>
        <v>52.857142857142861</v>
      </c>
    </row>
    <row r="12" spans="1:11" x14ac:dyDescent="0.3">
      <c r="B12" s="9">
        <v>45017</v>
      </c>
    </row>
    <row r="13" spans="1:11" x14ac:dyDescent="0.3">
      <c r="B13" s="9">
        <v>45018</v>
      </c>
    </row>
    <row r="14" spans="1:11" x14ac:dyDescent="0.3">
      <c r="B14" s="9">
        <v>45019</v>
      </c>
    </row>
    <row r="15" spans="1:11" x14ac:dyDescent="0.3">
      <c r="B15" s="9">
        <v>45020</v>
      </c>
    </row>
    <row r="16" spans="1:11" x14ac:dyDescent="0.3">
      <c r="B16" s="9">
        <v>45021</v>
      </c>
    </row>
    <row r="17" spans="2:2" x14ac:dyDescent="0.3">
      <c r="B17" s="9">
        <v>45022</v>
      </c>
    </row>
    <row r="18" spans="2:2" x14ac:dyDescent="0.3">
      <c r="B18" s="9">
        <v>45023</v>
      </c>
    </row>
    <row r="19" spans="2:2" x14ac:dyDescent="0.3">
      <c r="B19" s="9">
        <v>45024</v>
      </c>
    </row>
    <row r="20" spans="2:2" x14ac:dyDescent="0.3">
      <c r="B20" s="9">
        <v>45025</v>
      </c>
    </row>
    <row r="21" spans="2:2" x14ac:dyDescent="0.3">
      <c r="B21" s="9">
        <v>45026</v>
      </c>
    </row>
    <row r="22" spans="2:2" x14ac:dyDescent="0.3">
      <c r="B22" s="9">
        <v>45027</v>
      </c>
    </row>
    <row r="23" spans="2:2" x14ac:dyDescent="0.3">
      <c r="B23" s="9">
        <v>45028</v>
      </c>
    </row>
    <row r="24" spans="2:2" x14ac:dyDescent="0.3">
      <c r="B24" s="9">
        <v>45029</v>
      </c>
    </row>
  </sheetData>
  <mergeCells count="1">
    <mergeCell ref="A1:K1"/>
  </mergeCells>
  <conditionalFormatting sqref="F3:F8">
    <cfRule type="colorScale" priority="3">
      <colorScale>
        <cfvo type="min"/>
        <cfvo type="max"/>
        <color rgb="FFFCFCFF"/>
        <color rgb="FFF8696B"/>
      </colorScale>
    </cfRule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481BCCB-2FFC-4403-91FA-B7C6F899A5A5}">
            <x14:iconSet iconSet="3Stars">
              <x14:cfvo type="percent">
                <xm:f>0</xm:f>
              </x14:cfvo>
              <x14:cfvo type="num">
                <xm:f>50</xm:f>
              </x14:cfvo>
              <x14:cfvo type="num">
                <xm:f>100</xm:f>
              </x14:cfvo>
            </x14:iconSet>
          </x14:cfRule>
          <xm:sqref>F3:F8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93F1-CD65-4F98-9E77-A2A8046FA503}">
  <dimension ref="A1:I13"/>
  <sheetViews>
    <sheetView zoomScale="175" zoomScaleNormal="175" workbookViewId="0">
      <selection activeCell="E2" sqref="A2:E13"/>
    </sheetView>
  </sheetViews>
  <sheetFormatPr defaultRowHeight="14.4" x14ac:dyDescent="0.3"/>
  <cols>
    <col min="1" max="1" width="10.6640625" customWidth="1"/>
    <col min="2" max="2" width="16.109375" customWidth="1"/>
    <col min="3" max="3" width="13.44140625" customWidth="1"/>
    <col min="4" max="4" width="15.5546875" customWidth="1"/>
    <col min="5" max="5" width="8.88671875" customWidth="1"/>
  </cols>
  <sheetData>
    <row r="1" spans="1:9" x14ac:dyDescent="0.3">
      <c r="A1" s="6" t="s">
        <v>2</v>
      </c>
      <c r="B1" s="6" t="s">
        <v>21</v>
      </c>
      <c r="C1" s="6" t="s">
        <v>22</v>
      </c>
      <c r="D1" s="6" t="s">
        <v>23</v>
      </c>
      <c r="E1" s="6" t="s">
        <v>24</v>
      </c>
    </row>
    <row r="2" spans="1:9" x14ac:dyDescent="0.3">
      <c r="A2" s="8">
        <v>43739</v>
      </c>
      <c r="B2" s="6" t="s">
        <v>25</v>
      </c>
      <c r="C2" s="6" t="s">
        <v>26</v>
      </c>
      <c r="D2" s="6">
        <v>15000</v>
      </c>
      <c r="E2" s="6" t="str">
        <f>IF(D2&lt;20000,"YES","NO")</f>
        <v>YES</v>
      </c>
    </row>
    <row r="3" spans="1:9" x14ac:dyDescent="0.3">
      <c r="A3" s="8">
        <v>43749</v>
      </c>
      <c r="B3" s="6" t="s">
        <v>27</v>
      </c>
      <c r="C3" s="6" t="s">
        <v>28</v>
      </c>
      <c r="D3" s="6">
        <v>18000</v>
      </c>
      <c r="E3" s="6" t="str">
        <f>IF(D3&lt;20000,"YES","NO")</f>
        <v>YES</v>
      </c>
      <c r="G3">
        <v>45</v>
      </c>
      <c r="H3">
        <v>89</v>
      </c>
      <c r="I3">
        <f>G3+H3</f>
        <v>134</v>
      </c>
    </row>
    <row r="4" spans="1:9" x14ac:dyDescent="0.3">
      <c r="A4" s="8">
        <v>43748</v>
      </c>
      <c r="B4" s="6" t="s">
        <v>29</v>
      </c>
      <c r="C4" s="6" t="s">
        <v>30</v>
      </c>
      <c r="D4" s="6">
        <v>35000</v>
      </c>
      <c r="E4" s="6" t="s">
        <v>31</v>
      </c>
      <c r="G4">
        <v>98</v>
      </c>
      <c r="H4">
        <v>56</v>
      </c>
      <c r="I4">
        <f>G4+H4</f>
        <v>154</v>
      </c>
    </row>
    <row r="5" spans="1:9" x14ac:dyDescent="0.3">
      <c r="A5" s="8">
        <v>43743</v>
      </c>
      <c r="B5" s="6" t="s">
        <v>32</v>
      </c>
      <c r="C5" s="6" t="s">
        <v>26</v>
      </c>
      <c r="D5" s="6">
        <v>25000</v>
      </c>
      <c r="E5" s="6" t="str">
        <f>IF(D5&lt;20000,"YES","NO")</f>
        <v>NO</v>
      </c>
      <c r="G5">
        <v>65</v>
      </c>
      <c r="H5">
        <v>65</v>
      </c>
      <c r="I5">
        <f>G5+H5</f>
        <v>130</v>
      </c>
    </row>
    <row r="6" spans="1:9" x14ac:dyDescent="0.3">
      <c r="A6" s="8">
        <v>43742</v>
      </c>
      <c r="B6" s="6" t="s">
        <v>33</v>
      </c>
      <c r="C6" s="6" t="s">
        <v>34</v>
      </c>
      <c r="D6" s="6">
        <v>19000</v>
      </c>
      <c r="E6" s="6" t="str">
        <f>IF(D6&lt;20000,"YES","NO")</f>
        <v>YES</v>
      </c>
    </row>
    <row r="7" spans="1:9" x14ac:dyDescent="0.3">
      <c r="A7" s="8">
        <v>43747</v>
      </c>
      <c r="B7" s="6" t="s">
        <v>35</v>
      </c>
      <c r="C7" s="6" t="s">
        <v>26</v>
      </c>
      <c r="D7" s="6">
        <v>15000</v>
      </c>
      <c r="E7" s="6" t="str">
        <f>IF(D7&lt;20000,"YES","NO")</f>
        <v>YES</v>
      </c>
    </row>
    <row r="8" spans="1:9" x14ac:dyDescent="0.3">
      <c r="A8" s="8">
        <v>43745</v>
      </c>
      <c r="B8" s="6" t="s">
        <v>36</v>
      </c>
      <c r="C8" s="6" t="s">
        <v>28</v>
      </c>
      <c r="D8" s="6">
        <v>15000</v>
      </c>
      <c r="E8" s="6" t="str">
        <f>IF(D8&lt;20000,"YES","NO")</f>
        <v>YES</v>
      </c>
      <c r="G8">
        <v>45</v>
      </c>
      <c r="H8">
        <v>10</v>
      </c>
      <c r="I8">
        <f>G8+$H$8</f>
        <v>55</v>
      </c>
    </row>
    <row r="9" spans="1:9" x14ac:dyDescent="0.3">
      <c r="A9" s="8">
        <v>43744</v>
      </c>
      <c r="B9" s="6" t="s">
        <v>37</v>
      </c>
      <c r="C9" s="6" t="s">
        <v>30</v>
      </c>
      <c r="D9" s="6">
        <v>12000</v>
      </c>
      <c r="E9" s="6" t="s">
        <v>31</v>
      </c>
      <c r="G9">
        <v>98</v>
      </c>
      <c r="I9">
        <f>G9+$H$8</f>
        <v>108</v>
      </c>
    </row>
    <row r="10" spans="1:9" x14ac:dyDescent="0.3">
      <c r="A10" s="8">
        <v>43740</v>
      </c>
      <c r="B10" s="6" t="s">
        <v>38</v>
      </c>
      <c r="C10" s="6" t="s">
        <v>30</v>
      </c>
      <c r="D10" s="6">
        <v>16000</v>
      </c>
      <c r="E10" s="6" t="str">
        <f>IF(D10&lt;20000,"YES","NO")</f>
        <v>YES</v>
      </c>
      <c r="G10">
        <v>65</v>
      </c>
      <c r="I10">
        <f>G10+$H$8</f>
        <v>75</v>
      </c>
    </row>
    <row r="11" spans="1:9" x14ac:dyDescent="0.3">
      <c r="A11" s="8">
        <v>43741</v>
      </c>
      <c r="B11" s="6" t="s">
        <v>39</v>
      </c>
      <c r="C11" s="6" t="s">
        <v>28</v>
      </c>
      <c r="D11" s="6">
        <v>18000</v>
      </c>
      <c r="E11" s="6" t="str">
        <f>IF(D11&lt;20000,"YES","NO")</f>
        <v>YES</v>
      </c>
    </row>
    <row r="12" spans="1:9" x14ac:dyDescent="0.3">
      <c r="A12" s="8">
        <v>43746</v>
      </c>
      <c r="B12" s="6" t="s">
        <v>40</v>
      </c>
      <c r="C12" s="6" t="s">
        <v>34</v>
      </c>
      <c r="D12" s="6">
        <v>35000</v>
      </c>
      <c r="E12" s="6" t="str">
        <f>IF(D12&lt;20000,"YES","NO")</f>
        <v>NO</v>
      </c>
    </row>
    <row r="13" spans="1:9" x14ac:dyDescent="0.3">
      <c r="A13" s="8">
        <v>43750</v>
      </c>
      <c r="B13" s="6" t="s">
        <v>41</v>
      </c>
      <c r="C13" s="6" t="s">
        <v>34</v>
      </c>
      <c r="D13" s="6">
        <v>21000</v>
      </c>
      <c r="E13" s="6" t="str">
        <f>IF(D13&lt;20000,"YES","NO")</f>
        <v>NO</v>
      </c>
    </row>
  </sheetData>
  <conditionalFormatting sqref="A2:E13">
    <cfRule type="expression" dxfId="4" priority="2">
      <formula>$E2="NO"</formula>
    </cfRule>
    <cfRule type="expression" dxfId="3" priority="1">
      <formula>$E2="YES"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2E5D-EC77-4073-8C65-C83D1609B741}">
  <dimension ref="A1:W37"/>
  <sheetViews>
    <sheetView topLeftCell="A3" zoomScaleNormal="100" workbookViewId="0">
      <selection activeCell="T17" sqref="T17"/>
    </sheetView>
  </sheetViews>
  <sheetFormatPr defaultRowHeight="14.4" x14ac:dyDescent="0.3"/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7 - Conditional formatting</vt:lpstr>
      <vt:lpstr>Conditional Formatting</vt:lpstr>
      <vt:lpstr>Data</vt:lpstr>
      <vt:lpstr>About Satish 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2023-04-02T03:23:37Z</dcterms:created>
  <dcterms:modified xsi:type="dcterms:W3CDTF">2023-04-02T04:42:16Z</dcterms:modified>
</cp:coreProperties>
</file>